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>
    <definedName hidden="1" localSheetId="0" name="_xlnm._FilterDatabase">BOM!$B$5:$K$27</definedName>
  </definedNames>
  <calcPr/>
</workbook>
</file>

<file path=xl/sharedStrings.xml><?xml version="1.0" encoding="utf-8"?>
<sst xmlns="http://schemas.openxmlformats.org/spreadsheetml/2006/main" count="120" uniqueCount="68">
  <si>
    <t>전자부품 BOM</t>
  </si>
  <si>
    <t xml:space="preserve">총 예상 비용 </t>
  </si>
  <si>
    <t>총 예상 비용 (세금 후)</t>
  </si>
  <si>
    <t>부품 수량</t>
  </si>
  <si>
    <t>연번</t>
  </si>
  <si>
    <t>부품명</t>
  </si>
  <si>
    <t>제조업체</t>
  </si>
  <si>
    <t>부품 번호(MPN)</t>
  </si>
  <si>
    <t>수량</t>
  </si>
  <si>
    <t>단가</t>
  </si>
  <si>
    <t>총액</t>
  </si>
  <si>
    <t>구매처</t>
  </si>
  <si>
    <t>상태</t>
  </si>
  <si>
    <t>비고</t>
  </si>
  <si>
    <t>NUCLEO-F411RE</t>
  </si>
  <si>
    <t>STMicroelectronics</t>
  </si>
  <si>
    <t>디바이스 마트</t>
  </si>
  <si>
    <t>재고 있음</t>
  </si>
  <si>
    <t>NUCLEO-F103RB</t>
  </si>
  <si>
    <t>STM32H523</t>
  </si>
  <si>
    <t>WeAct Studio</t>
  </si>
  <si>
    <t>STM32H523CET6</t>
  </si>
  <si>
    <t>알리바바</t>
  </si>
  <si>
    <t>아두이노 4WD 주행로봇 프레임 세트</t>
  </si>
  <si>
    <t>SMG</t>
  </si>
  <si>
    <t xml:space="preserve"> SZH-EK098</t>
  </si>
  <si>
    <t>블루투스 모듈</t>
  </si>
  <si>
    <t>LK EMBEDDED</t>
  </si>
  <si>
    <t>HC-05 B36</t>
  </si>
  <si>
    <t>l298N</t>
  </si>
  <si>
    <t>SZH-EK001</t>
  </si>
  <si>
    <t>Toggle 3단3P 스위치</t>
  </si>
  <si>
    <t>우진전기</t>
  </si>
  <si>
    <t>WTS-3303S</t>
  </si>
  <si>
    <t>온도센서</t>
  </si>
  <si>
    <t>Analog Devices Inc</t>
  </si>
  <si>
    <t>TMP36GT9Z</t>
  </si>
  <si>
    <t>RFID 센서</t>
  </si>
  <si>
    <t>Voltly</t>
  </si>
  <si>
    <t>RC522 VLT-RF009</t>
  </si>
  <si>
    <t>초음파센서</t>
  </si>
  <si>
    <t>SMG-A</t>
  </si>
  <si>
    <t>HC-SR04P</t>
  </si>
  <si>
    <t>PS2 조이스틱</t>
  </si>
  <si>
    <t>SZH-EK056</t>
  </si>
  <si>
    <t>조도센서</t>
  </si>
  <si>
    <t>OEM</t>
  </si>
  <si>
    <t>GL5537</t>
  </si>
  <si>
    <t>4핀 택트스위치</t>
  </si>
  <si>
    <t>SZH-TH0018</t>
  </si>
  <si>
    <t xml:space="preserve">원형 노브 캡 </t>
  </si>
  <si>
    <t>NW3</t>
  </si>
  <si>
    <t>NW3-A95</t>
  </si>
  <si>
    <t>세라믹 0.1㎌ 캐패시터</t>
  </si>
  <si>
    <t>SAMWON</t>
  </si>
  <si>
    <t>I2C 1602 LCD</t>
  </si>
  <si>
    <t>SZH-EK101</t>
  </si>
  <si>
    <t>SPI TFT LCD</t>
  </si>
  <si>
    <t>SZH-EK096</t>
  </si>
  <si>
    <t>LED 5mm 빨간색</t>
  </si>
  <si>
    <t>DAKWANG</t>
  </si>
  <si>
    <t>5R3HT-10</t>
  </si>
  <si>
    <t>LED 5mm 백색</t>
  </si>
  <si>
    <t>5BCLSC00</t>
  </si>
  <si>
    <t>1/4W 5% Axial Resistor 221J (220Ω)</t>
  </si>
  <si>
    <t>제일 전자</t>
  </si>
  <si>
    <t>1/4W 5% Axial Resistor 102J (1KΩ)</t>
  </si>
  <si>
    <t>1/4W 5% Axial Resistor 104J (100KΩ)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</si>
</sst>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₩&quot;#,##0"/>
    <numFmt numFmtId="165" formatCode="₩#,##0"/>
  </numFmts>
  <fonts count="7">
    <font>
      <sz val="10.0"/>
      <color rgb="FF000000"/>
      <name val="Arial"/>
      <scheme val="minor"/>
    </font>
    <font>
      <b/>
      <sz val="18.0"/>
      <color rgb="FF116682"/>
      <name val="Montserrat"/>
    </font>
    <font>
      <b/>
      <sz val="10.0"/>
      <color rgb="FF161C1F"/>
      <name val="Roboto"/>
    </font>
    <font/>
    <font>
      <b/>
      <sz val="14.0"/>
      <color rgb="FF116682"/>
      <name val="Roboto"/>
    </font>
    <font>
      <b/>
      <sz val="10.0"/>
      <color rgb="FFFFFFFF"/>
      <name val="Roboto"/>
    </font>
    <font>
      <sz val="10.0"/>
      <color rgb="FF161C1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AEDF1"/>
        <bgColor rgb="FFEAEDF1"/>
      </patternFill>
    </fill>
    <fill>
      <patternFill patternType="solid">
        <fgColor rgb="FF116682"/>
        <bgColor rgb="FF116682"/>
      </patternFill>
    </fill>
    <fill>
      <patternFill patternType="solid">
        <fgColor rgb="FFF6F9FC"/>
        <bgColor rgb="FFF6F9F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6F787C"/>
      </left>
      <top style="thin">
        <color rgb="FF6F787C"/>
      </top>
      <bottom style="thin">
        <color rgb="FF6F787C"/>
      </bottom>
    </border>
    <border>
      <right style="thin">
        <color rgb="FF6F787C"/>
      </right>
      <top style="thin">
        <color rgb="FF6F787C"/>
      </top>
      <bottom style="thin">
        <color rgb="FF6F787C"/>
      </bottom>
    </border>
    <border>
      <left style="thin">
        <color rgb="FF6F787C"/>
      </left>
      <bottom style="thin">
        <color rgb="FF6F787C"/>
      </bottom>
    </border>
    <border>
      <right style="thin">
        <color rgb="FF6F787C"/>
      </right>
      <bottom style="thin">
        <color rgb="FF6F787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4" numFmtId="164" xfId="0" applyAlignment="1" applyBorder="1" applyFont="1" applyNumberFormat="1">
      <alignment horizontal="center" vertical="center"/>
    </xf>
    <xf borderId="4" fillId="0" fontId="3" numFmtId="0" xfId="0" applyBorder="1" applyFont="1"/>
    <xf borderId="3" fillId="0" fontId="4" numFmtId="3" xfId="0" applyAlignment="1" applyBorder="1" applyFont="1" applyNumberFormat="1">
      <alignment horizontal="center" vertical="center"/>
    </xf>
    <xf borderId="0" fillId="3" fontId="5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4" fontId="6" numFmtId="3" xfId="0" applyAlignment="1" applyFont="1" applyNumberFormat="1">
      <alignment readingOrder="0" shrinkToFit="0" vertical="center" wrapText="1"/>
    </xf>
    <xf borderId="0" fillId="4" fontId="6" numFmtId="165" xfId="0" applyAlignment="1" applyFont="1" applyNumberFormat="1">
      <alignment readingOrder="0" shrinkToFit="0" vertical="center" wrapText="1"/>
    </xf>
    <xf borderId="0" fillId="4" fontId="6" numFmtId="165" xfId="0" applyAlignment="1" applyFont="1" applyNumberFormat="1">
      <alignment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6" numFmtId="3" xfId="0" applyAlignment="1" applyFont="1" applyNumberFormat="1">
      <alignment readingOrder="0" shrinkToFit="0" vertical="center" wrapText="1"/>
    </xf>
    <xf borderId="0" fillId="5" fontId="6" numFmtId="165" xfId="0" applyAlignment="1" applyFont="1" applyNumberFormat="1">
      <alignment readingOrder="0" shrinkToFit="0" vertical="center" wrapText="1"/>
    </xf>
    <xf borderId="0" fillId="5" fontId="6" numFmtId="165" xfId="0" applyAlignment="1" applyFont="1" applyNumberFormat="1">
      <alignment shrinkToFit="0" vertical="center" wrapText="1"/>
    </xf>
    <xf borderId="0" fillId="5" fontId="6" numFmtId="0" xfId="0" applyAlignment="1" applyFont="1">
      <alignment shrinkToFit="0" vertical="center" wrapText="1"/>
    </xf>
    <xf borderId="0" fillId="4" fontId="6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6.38"/>
    <col customWidth="1" min="3" max="3" width="32.13"/>
    <col customWidth="1" min="4" max="4" width="19.5"/>
    <col customWidth="1" min="5" max="5" width="14.88"/>
    <col customWidth="1" min="6" max="6" width="16.13"/>
    <col customWidth="1" min="7" max="7" width="7.25"/>
    <col customWidth="1" min="8" max="8" width="21.25"/>
    <col customWidth="1" min="9" max="9" width="10.63"/>
    <col customWidth="1" min="10" max="10" width="12.38"/>
    <col customWidth="1" min="11" max="11" width="4.13"/>
  </cols>
  <sheetData>
    <row r="1" ht="6.75" customHeight="1"/>
    <row r="2">
      <c r="B2" s="1" t="s">
        <v>0</v>
      </c>
      <c r="D2" s="2" t="s">
        <v>1</v>
      </c>
      <c r="E2" s="3"/>
      <c r="F2" s="2" t="s">
        <v>2</v>
      </c>
      <c r="G2" s="3"/>
      <c r="H2" s="2" t="s">
        <v>3</v>
      </c>
      <c r="I2" s="3"/>
    </row>
    <row r="3">
      <c r="D3" s="4">
        <f>SUM(H9:H1006)</f>
        <v>86540</v>
      </c>
      <c r="E3" s="5"/>
      <c r="F3" s="4">
        <f>D3*1.1</f>
        <v>95194</v>
      </c>
      <c r="G3" s="5"/>
      <c r="H3" s="6">
        <f>SUM(F9:F1006)</f>
        <v>82</v>
      </c>
      <c r="I3" s="5"/>
    </row>
    <row r="5"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</row>
    <row r="6">
      <c r="B6" s="8">
        <v>1.0</v>
      </c>
      <c r="C6" s="9" t="s">
        <v>14</v>
      </c>
      <c r="D6" s="9" t="s">
        <v>15</v>
      </c>
      <c r="E6" s="9" t="s">
        <v>14</v>
      </c>
      <c r="F6" s="10">
        <v>1.0</v>
      </c>
      <c r="G6" s="11">
        <v>38000.0</v>
      </c>
      <c r="H6" s="12">
        <f t="shared" ref="H6:H27" si="1">IF(ISBLANK(F6), "", F6*G6)</f>
        <v>38000</v>
      </c>
      <c r="I6" s="9" t="s">
        <v>16</v>
      </c>
      <c r="J6" s="8" t="s">
        <v>17</v>
      </c>
    </row>
    <row r="7">
      <c r="B7" s="13">
        <v>2.0</v>
      </c>
      <c r="C7" s="14" t="s">
        <v>18</v>
      </c>
      <c r="D7" s="14" t="s">
        <v>15</v>
      </c>
      <c r="E7" s="14" t="s">
        <v>18</v>
      </c>
      <c r="F7" s="15">
        <v>2.0</v>
      </c>
      <c r="G7" s="16">
        <v>58000.0</v>
      </c>
      <c r="H7" s="17">
        <f t="shared" si="1"/>
        <v>116000</v>
      </c>
      <c r="I7" s="14" t="s">
        <v>16</v>
      </c>
      <c r="J7" s="13" t="s">
        <v>17</v>
      </c>
      <c r="K7" s="18"/>
    </row>
    <row r="8">
      <c r="B8" s="8">
        <v>3.0</v>
      </c>
      <c r="C8" s="9" t="s">
        <v>19</v>
      </c>
      <c r="D8" s="9" t="s">
        <v>20</v>
      </c>
      <c r="E8" s="9" t="s">
        <v>21</v>
      </c>
      <c r="F8" s="10">
        <v>1.0</v>
      </c>
      <c r="G8" s="11">
        <v>9062.0</v>
      </c>
      <c r="H8" s="12">
        <f t="shared" si="1"/>
        <v>9062</v>
      </c>
      <c r="I8" s="9" t="s">
        <v>22</v>
      </c>
      <c r="J8" s="8" t="s">
        <v>17</v>
      </c>
      <c r="K8" s="19"/>
    </row>
    <row r="9">
      <c r="B9" s="13">
        <v>4.0</v>
      </c>
      <c r="C9" s="14" t="s">
        <v>23</v>
      </c>
      <c r="D9" s="14" t="s">
        <v>24</v>
      </c>
      <c r="E9" s="14" t="s">
        <v>25</v>
      </c>
      <c r="F9" s="15">
        <v>2.0</v>
      </c>
      <c r="G9" s="16">
        <v>8300.0</v>
      </c>
      <c r="H9" s="17">
        <f t="shared" si="1"/>
        <v>16600</v>
      </c>
      <c r="I9" s="14" t="s">
        <v>16</v>
      </c>
      <c r="J9" s="13" t="s">
        <v>17</v>
      </c>
      <c r="K9" s="18"/>
    </row>
    <row r="10">
      <c r="B10" s="8">
        <v>5.0</v>
      </c>
      <c r="C10" s="9" t="s">
        <v>26</v>
      </c>
      <c r="D10" s="9" t="s">
        <v>27</v>
      </c>
      <c r="E10" s="9" t="s">
        <v>28</v>
      </c>
      <c r="F10" s="10">
        <v>2.0</v>
      </c>
      <c r="G10" s="11">
        <v>6000.0</v>
      </c>
      <c r="H10" s="12">
        <f t="shared" si="1"/>
        <v>12000</v>
      </c>
      <c r="I10" s="9" t="s">
        <v>16</v>
      </c>
      <c r="J10" s="8" t="s">
        <v>17</v>
      </c>
      <c r="K10" s="19"/>
    </row>
    <row r="11">
      <c r="B11" s="13">
        <v>6.0</v>
      </c>
      <c r="C11" s="14" t="s">
        <v>29</v>
      </c>
      <c r="D11" s="14" t="s">
        <v>24</v>
      </c>
      <c r="E11" s="14" t="s">
        <v>30</v>
      </c>
      <c r="F11" s="15">
        <v>1.0</v>
      </c>
      <c r="G11" s="16">
        <v>2700.0</v>
      </c>
      <c r="H11" s="17">
        <f t="shared" si="1"/>
        <v>2700</v>
      </c>
      <c r="I11" s="14" t="s">
        <v>16</v>
      </c>
      <c r="J11" s="13" t="s">
        <v>17</v>
      </c>
      <c r="K11" s="18"/>
    </row>
    <row r="12">
      <c r="B12" s="8">
        <v>7.0</v>
      </c>
      <c r="C12" s="9" t="s">
        <v>31</v>
      </c>
      <c r="D12" s="9" t="s">
        <v>32</v>
      </c>
      <c r="E12" s="9" t="s">
        <v>33</v>
      </c>
      <c r="F12" s="10">
        <v>1.0</v>
      </c>
      <c r="G12" s="11">
        <v>2600.0</v>
      </c>
      <c r="H12" s="12">
        <f t="shared" si="1"/>
        <v>2600</v>
      </c>
      <c r="I12" s="9" t="s">
        <v>16</v>
      </c>
      <c r="J12" s="8" t="s">
        <v>17</v>
      </c>
      <c r="K12" s="19"/>
    </row>
    <row r="13">
      <c r="B13" s="13">
        <v>8.0</v>
      </c>
      <c r="C13" s="14" t="s">
        <v>34</v>
      </c>
      <c r="D13" s="14" t="s">
        <v>35</v>
      </c>
      <c r="E13" s="14" t="s">
        <v>36</v>
      </c>
      <c r="F13" s="15">
        <v>1.0</v>
      </c>
      <c r="G13" s="16">
        <v>2400.0</v>
      </c>
      <c r="H13" s="17">
        <f t="shared" si="1"/>
        <v>2400</v>
      </c>
      <c r="I13" s="14" t="s">
        <v>16</v>
      </c>
      <c r="J13" s="13" t="s">
        <v>17</v>
      </c>
      <c r="K13" s="18"/>
    </row>
    <row r="14">
      <c r="B14" s="8">
        <v>9.0</v>
      </c>
      <c r="C14" s="9" t="s">
        <v>37</v>
      </c>
      <c r="D14" s="9" t="s">
        <v>38</v>
      </c>
      <c r="E14" s="9" t="s">
        <v>39</v>
      </c>
      <c r="F14" s="10">
        <v>1.0</v>
      </c>
      <c r="G14" s="11">
        <v>2000.0</v>
      </c>
      <c r="H14" s="12">
        <f t="shared" si="1"/>
        <v>2000</v>
      </c>
      <c r="I14" s="9" t="s">
        <v>16</v>
      </c>
      <c r="J14" s="8" t="s">
        <v>17</v>
      </c>
      <c r="K14" s="19"/>
    </row>
    <row r="15">
      <c r="B15" s="13">
        <v>10.0</v>
      </c>
      <c r="C15" s="14" t="s">
        <v>40</v>
      </c>
      <c r="D15" s="14" t="s">
        <v>41</v>
      </c>
      <c r="E15" s="14" t="s">
        <v>42</v>
      </c>
      <c r="F15" s="15">
        <v>2.0</v>
      </c>
      <c r="G15" s="16">
        <v>1100.0</v>
      </c>
      <c r="H15" s="17">
        <f t="shared" si="1"/>
        <v>2200</v>
      </c>
      <c r="I15" s="14" t="s">
        <v>16</v>
      </c>
      <c r="J15" s="13" t="s">
        <v>17</v>
      </c>
      <c r="K15" s="18"/>
    </row>
    <row r="16">
      <c r="B16" s="8">
        <v>11.0</v>
      </c>
      <c r="C16" s="9" t="s">
        <v>43</v>
      </c>
      <c r="D16" s="9" t="s">
        <v>41</v>
      </c>
      <c r="E16" s="9" t="s">
        <v>44</v>
      </c>
      <c r="F16" s="10">
        <v>1.0</v>
      </c>
      <c r="G16" s="11">
        <v>1000.0</v>
      </c>
      <c r="H16" s="12">
        <f t="shared" si="1"/>
        <v>1000</v>
      </c>
      <c r="I16" s="9" t="s">
        <v>16</v>
      </c>
      <c r="J16" s="8" t="s">
        <v>17</v>
      </c>
      <c r="K16" s="19"/>
    </row>
    <row r="17">
      <c r="B17" s="13">
        <v>12.0</v>
      </c>
      <c r="C17" s="14" t="s">
        <v>45</v>
      </c>
      <c r="D17" s="14" t="s">
        <v>46</v>
      </c>
      <c r="E17" s="14" t="s">
        <v>47</v>
      </c>
      <c r="F17" s="15">
        <v>2.0</v>
      </c>
      <c r="G17" s="16">
        <v>500.0</v>
      </c>
      <c r="H17" s="17">
        <f t="shared" si="1"/>
        <v>1000</v>
      </c>
      <c r="I17" s="14" t="s">
        <v>16</v>
      </c>
      <c r="J17" s="13" t="s">
        <v>17</v>
      </c>
      <c r="K17" s="18"/>
    </row>
    <row r="18">
      <c r="B18" s="8">
        <v>13.0</v>
      </c>
      <c r="C18" s="9" t="s">
        <v>48</v>
      </c>
      <c r="D18" s="9" t="s">
        <v>46</v>
      </c>
      <c r="E18" s="9" t="s">
        <v>49</v>
      </c>
      <c r="F18" s="10">
        <v>10.0</v>
      </c>
      <c r="G18" s="11">
        <v>200.0</v>
      </c>
      <c r="H18" s="12">
        <f t="shared" si="1"/>
        <v>2000</v>
      </c>
      <c r="I18" s="9" t="s">
        <v>16</v>
      </c>
      <c r="J18" s="8" t="s">
        <v>17</v>
      </c>
      <c r="K18" s="19"/>
    </row>
    <row r="19">
      <c r="B19" s="13">
        <v>14.0</v>
      </c>
      <c r="C19" s="14" t="s">
        <v>50</v>
      </c>
      <c r="D19" s="14" t="s">
        <v>51</v>
      </c>
      <c r="E19" s="14" t="s">
        <v>52</v>
      </c>
      <c r="F19" s="15">
        <v>10.0</v>
      </c>
      <c r="G19" s="16">
        <v>50.0</v>
      </c>
      <c r="H19" s="17">
        <f t="shared" si="1"/>
        <v>500</v>
      </c>
      <c r="I19" s="14" t="s">
        <v>16</v>
      </c>
      <c r="J19" s="13" t="s">
        <v>17</v>
      </c>
      <c r="K19" s="18"/>
    </row>
    <row r="20">
      <c r="B20" s="8">
        <v>15.0</v>
      </c>
      <c r="C20" s="9" t="s">
        <v>53</v>
      </c>
      <c r="D20" s="9" t="s">
        <v>54</v>
      </c>
      <c r="E20" s="19"/>
      <c r="F20" s="10">
        <v>10.0</v>
      </c>
      <c r="G20" s="11">
        <v>30.0</v>
      </c>
      <c r="H20" s="12">
        <f t="shared" si="1"/>
        <v>300</v>
      </c>
      <c r="I20" s="9" t="s">
        <v>16</v>
      </c>
      <c r="J20" s="8" t="s">
        <v>17</v>
      </c>
      <c r="K20" s="19"/>
    </row>
    <row r="21">
      <c r="B21" s="13">
        <v>16.0</v>
      </c>
      <c r="C21" s="14" t="s">
        <v>55</v>
      </c>
      <c r="D21" s="14" t="s">
        <v>24</v>
      </c>
      <c r="E21" s="14" t="s">
        <v>56</v>
      </c>
      <c r="F21" s="15">
        <v>1.0</v>
      </c>
      <c r="G21" s="16">
        <v>2500.0</v>
      </c>
      <c r="H21" s="17">
        <f t="shared" si="1"/>
        <v>2500</v>
      </c>
      <c r="I21" s="14" t="s">
        <v>16</v>
      </c>
      <c r="J21" s="13" t="s">
        <v>17</v>
      </c>
      <c r="K21" s="18"/>
    </row>
    <row r="22">
      <c r="B22" s="8">
        <v>17.0</v>
      </c>
      <c r="C22" s="9" t="s">
        <v>57</v>
      </c>
      <c r="D22" s="9" t="s">
        <v>24</v>
      </c>
      <c r="E22" s="9" t="s">
        <v>58</v>
      </c>
      <c r="F22" s="10">
        <v>2.0</v>
      </c>
      <c r="G22" s="11">
        <v>15000.0</v>
      </c>
      <c r="H22" s="12">
        <f t="shared" si="1"/>
        <v>30000</v>
      </c>
      <c r="I22" s="9" t="s">
        <v>16</v>
      </c>
      <c r="J22" s="8" t="s">
        <v>17</v>
      </c>
      <c r="K22" s="19"/>
    </row>
    <row r="23">
      <c r="B23" s="13">
        <v>18.0</v>
      </c>
      <c r="C23" s="14" t="s">
        <v>59</v>
      </c>
      <c r="D23" s="14" t="s">
        <v>60</v>
      </c>
      <c r="E23" s="14" t="s">
        <v>61</v>
      </c>
      <c r="F23" s="15">
        <v>4.0</v>
      </c>
      <c r="G23" s="16">
        <v>70.0</v>
      </c>
      <c r="H23" s="17">
        <f t="shared" si="1"/>
        <v>280</v>
      </c>
      <c r="I23" s="14" t="s">
        <v>16</v>
      </c>
      <c r="J23" s="13" t="s">
        <v>17</v>
      </c>
      <c r="K23" s="18"/>
    </row>
    <row r="24">
      <c r="B24" s="8">
        <v>19.0</v>
      </c>
      <c r="C24" s="9" t="s">
        <v>62</v>
      </c>
      <c r="D24" s="9" t="s">
        <v>60</v>
      </c>
      <c r="E24" s="9" t="s">
        <v>63</v>
      </c>
      <c r="F24" s="10">
        <v>2.0</v>
      </c>
      <c r="G24" s="11">
        <v>480.0</v>
      </c>
      <c r="H24" s="12">
        <f t="shared" si="1"/>
        <v>960</v>
      </c>
      <c r="I24" s="9" t="s">
        <v>16</v>
      </c>
      <c r="J24" s="8" t="s">
        <v>17</v>
      </c>
      <c r="K24" s="19"/>
    </row>
    <row r="25">
      <c r="B25" s="13">
        <v>20.0</v>
      </c>
      <c r="C25" s="14" t="s">
        <v>64</v>
      </c>
      <c r="D25" s="14" t="s">
        <v>65</v>
      </c>
      <c r="E25" s="14"/>
      <c r="F25" s="15">
        <v>10.0</v>
      </c>
      <c r="G25" s="16">
        <v>250.0</v>
      </c>
      <c r="H25" s="17">
        <f t="shared" si="1"/>
        <v>2500</v>
      </c>
      <c r="I25" s="14" t="s">
        <v>16</v>
      </c>
      <c r="J25" s="13" t="s">
        <v>17</v>
      </c>
      <c r="K25" s="18"/>
    </row>
    <row r="26">
      <c r="B26" s="8">
        <v>21.0</v>
      </c>
      <c r="C26" s="9" t="s">
        <v>66</v>
      </c>
      <c r="D26" s="9" t="s">
        <v>65</v>
      </c>
      <c r="E26" s="9"/>
      <c r="F26" s="10">
        <v>10.0</v>
      </c>
      <c r="G26" s="11">
        <v>250.0</v>
      </c>
      <c r="H26" s="12">
        <f t="shared" si="1"/>
        <v>2500</v>
      </c>
      <c r="I26" s="9" t="s">
        <v>16</v>
      </c>
      <c r="J26" s="8" t="s">
        <v>17</v>
      </c>
      <c r="K26" s="19"/>
    </row>
    <row r="27">
      <c r="B27" s="13">
        <v>22.0</v>
      </c>
      <c r="C27" s="14" t="s">
        <v>67</v>
      </c>
      <c r="D27" s="14" t="s">
        <v>65</v>
      </c>
      <c r="E27" s="14"/>
      <c r="F27" s="15">
        <v>10.0</v>
      </c>
      <c r="G27" s="16">
        <v>250.0</v>
      </c>
      <c r="H27" s="17">
        <f t="shared" si="1"/>
        <v>2500</v>
      </c>
      <c r="I27" s="14" t="s">
        <v>16</v>
      </c>
      <c r="J27" s="13" t="s">
        <v>17</v>
      </c>
    </row>
  </sheetData>
  <autoFilter ref="$B$5:$K$27">
    <sortState ref="B5:K27">
      <sortCondition descending="1" ref="G5:G27"/>
    </sortState>
  </autoFilter>
  <mergeCells count="7">
    <mergeCell ref="B2:C3"/>
    <mergeCell ref="D2:E2"/>
    <mergeCell ref="F2:G2"/>
    <mergeCell ref="H2:I2"/>
    <mergeCell ref="D3:E3"/>
    <mergeCell ref="F3:G3"/>
    <mergeCell ref="H3:I3"/>
  </mergeCells>
  <dataValidations>
    <dataValidation type="list" allowBlank="1" sqref="J6:J27">
      <formula1>"재고 있음,주문 완료,구매 필요"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